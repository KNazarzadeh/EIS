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nazarzadeh\Projects\EIS\"/>
    </mc:Choice>
  </mc:AlternateContent>
  <xr:revisionPtr revIDLastSave="0" documentId="13_ncr:1_{15C42993-1AA8-4858-8D98-615D3E354B14}" xr6:coauthVersionLast="47" xr6:coauthVersionMax="47" xr10:uidLastSave="{00000000-0000-0000-0000-000000000000}"/>
  <bookViews>
    <workbookView xWindow="-108" yWindow="-108" windowWidth="23256" windowHeight="13896" tabRatio="859" activeTab="3" xr2:uid="{D1BE3A99-A2EC-411A-B2ED-F06EA9DB5359}"/>
  </bookViews>
  <sheets>
    <sheet name="Geometric" sheetId="1" r:id="rId1"/>
    <sheet name="Concentration" sheetId="2" r:id="rId2"/>
    <sheet name="Transport" sheetId="3" r:id="rId3"/>
    <sheet name="Kinetic" sheetId="8" r:id="rId4"/>
    <sheet name="Thermodynamic" sheetId="4" r:id="rId5"/>
    <sheet name="Electrical" sheetId="5" r:id="rId6"/>
    <sheet name="Thermal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<sst xmlns="http://schemas.openxmlformats.org/spreadsheetml/2006/main" count="361" uniqueCount="124">
  <si>
    <t>Domain</t>
  </si>
  <si>
    <t>Parameters</t>
  </si>
  <si>
    <t>Values</t>
  </si>
  <si>
    <t>Units</t>
  </si>
  <si>
    <t>Range</t>
  </si>
  <si>
    <t>Note</t>
  </si>
  <si>
    <t>Cell</t>
  </si>
  <si>
    <t>surface area</t>
  </si>
  <si>
    <t>m²</t>
  </si>
  <si>
    <t>-</t>
  </si>
  <si>
    <t>Enter a single value</t>
  </si>
  <si>
    <t>Electrode Negative</t>
  </si>
  <si>
    <t>material</t>
  </si>
  <si>
    <t>Enter a text</t>
  </si>
  <si>
    <t>thickness</t>
  </si>
  <si>
    <t>µm</t>
  </si>
  <si>
    <t>46 - 96</t>
  </si>
  <si>
    <t>width</t>
  </si>
  <si>
    <t>mm</t>
  </si>
  <si>
    <t>30 – 300</t>
  </si>
  <si>
    <t>height</t>
  </si>
  <si>
    <t>50 – 400</t>
  </si>
  <si>
    <t>number of layers</t>
  </si>
  <si>
    <t>current collector thickness</t>
  </si>
  <si>
    <t>active material volume fraction</t>
  </si>
  <si>
    <t>0.40 - 0.75</t>
  </si>
  <si>
    <t>electrolyte volume fraction</t>
  </si>
  <si>
    <t>0.25 - 0.50</t>
  </si>
  <si>
    <t>particle radius</t>
  </si>
  <si>
    <t>1 - 11</t>
  </si>
  <si>
    <t>Enter a single value or a valid list (e.g., [1;2;3])</t>
  </si>
  <si>
    <t>particle fraction</t>
  </si>
  <si>
    <t>number of particle radial nodes</t>
  </si>
  <si>
    <t>number of electrode spatial nodes</t>
  </si>
  <si>
    <t>Electrode Positive</t>
  </si>
  <si>
    <t>36 - 80</t>
  </si>
  <si>
    <t>0.37 - 0.67</t>
  </si>
  <si>
    <t>0.20 - 0.45</t>
  </si>
  <si>
    <t>1 - 7</t>
  </si>
  <si>
    <t>Separator</t>
  </si>
  <si>
    <t>12 - 25</t>
  </si>
  <si>
    <t>0.30 - 0.73</t>
  </si>
  <si>
    <t>number of spatial nodes</t>
  </si>
  <si>
    <t>concentration maximum</t>
  </si>
  <si>
    <t>mol/dm³</t>
  </si>
  <si>
    <t>(29 – 33.2)</t>
  </si>
  <si>
    <t>(48 – 63.2)</t>
  </si>
  <si>
    <t>Electrolyte</t>
  </si>
  <si>
    <t>concentration initial</t>
  </si>
  <si>
    <t>mol/m³</t>
  </si>
  <si>
    <t>(300 - 3500)</t>
  </si>
  <si>
    <t>s/m</t>
  </si>
  <si>
    <t>14 - 1000</t>
  </si>
  <si>
    <t>bruggeman coefficient</t>
  </si>
  <si>
    <t>1.3 - 1.7</t>
  </si>
  <si>
    <t>diffusion activation energy</t>
  </si>
  <si>
    <t>0.1 - 0.4</t>
  </si>
  <si>
    <t>diffusion coefficient reference</t>
  </si>
  <si>
    <t>m²/s</t>
  </si>
  <si>
    <r>
      <t>1E-14 -</t>
    </r>
    <r>
      <rPr>
        <vertAlign val="superscript"/>
        <sz val="14"/>
        <color theme="1"/>
        <rFont val="Aptos Narrow"/>
        <family val="2"/>
        <scheme val="minor"/>
      </rPr>
      <t xml:space="preserve"> 9E</t>
    </r>
    <r>
      <rPr>
        <sz val="14"/>
        <color theme="1"/>
        <rFont val="Aptos Narrow"/>
        <family val="2"/>
        <scheme val="minor"/>
      </rPr>
      <t>-14</t>
    </r>
  </si>
  <si>
    <t>0.18 - 100</t>
  </si>
  <si>
    <t>0.3 - 0.6</t>
  </si>
  <si>
    <r>
      <t>0.4E-14</t>
    </r>
    <r>
      <rPr>
        <vertAlign val="superscript"/>
        <sz val="14"/>
        <color theme="1"/>
        <rFont val="Aptos Narrow"/>
        <family val="2"/>
        <scheme val="minor"/>
      </rPr>
      <t xml:space="preserve"> - </t>
    </r>
    <r>
      <rPr>
        <sz val="14"/>
        <color theme="1"/>
        <rFont val="Aptos Narrow"/>
        <family val="2"/>
        <scheme val="minor"/>
      </rPr>
      <t>8E-14</t>
    </r>
  </si>
  <si>
    <r>
      <t>1.3E-14</t>
    </r>
    <r>
      <rPr>
        <vertAlign val="superscript"/>
        <sz val="14"/>
        <color theme="1"/>
        <rFont val="Aptos Narrow"/>
        <family val="2"/>
        <scheme val="minor"/>
      </rPr>
      <t xml:space="preserve"> - </t>
    </r>
    <r>
      <rPr>
        <sz val="14"/>
        <color theme="1"/>
        <rFont val="Aptos Narrow"/>
        <family val="2"/>
        <scheme val="minor"/>
      </rPr>
      <t>7.5E-14</t>
    </r>
  </si>
  <si>
    <t>transference ion number</t>
  </si>
  <si>
    <t>conductivity coefficient reference</t>
  </si>
  <si>
    <t>stoichiometry at 0% SOC</t>
  </si>
  <si>
    <t>0 - 1</t>
  </si>
  <si>
    <t>stoichiometry at 100% SOC</t>
  </si>
  <si>
    <t>The equation text must depend on the variable (stoichiometry)</t>
  </si>
  <si>
    <t>Equilibrium potential equation</t>
  </si>
  <si>
    <t>nominal capacity</t>
  </si>
  <si>
    <t>Ah</t>
  </si>
  <si>
    <t>1 - 100</t>
  </si>
  <si>
    <t>contact resistance</t>
  </si>
  <si>
    <t>Ohm.m²</t>
  </si>
  <si>
    <t>0.1 - 10</t>
  </si>
  <si>
    <t>lower voltage</t>
  </si>
  <si>
    <t>V</t>
  </si>
  <si>
    <t>2.5 -3.0</t>
  </si>
  <si>
    <t>upper voltage</t>
  </si>
  <si>
    <t>4.1 - 4.3</t>
  </si>
  <si>
    <t>temperature reference</t>
  </si>
  <si>
    <t>°C</t>
  </si>
  <si>
    <t>Typical 25°C</t>
  </si>
  <si>
    <t>temperature ambient</t>
  </si>
  <si>
    <t>15 - 35</t>
  </si>
  <si>
    <t>temperature minimum</t>
  </si>
  <si>
    <t>-20 - 0</t>
  </si>
  <si>
    <t>temperature maximum</t>
  </si>
  <si>
    <t>45 - 60</t>
  </si>
  <si>
    <t>charge transfer coefficient</t>
  </si>
  <si>
    <t>0.4 - 0.6</t>
  </si>
  <si>
    <t>reaction rate activation energy</t>
  </si>
  <si>
    <t>0.2 - 0.6</t>
  </si>
  <si>
    <t>0.5 - 5</t>
  </si>
  <si>
    <t>1E-10 - 1E-6</t>
  </si>
  <si>
    <t>0.3 - 0.8</t>
  </si>
  <si>
    <t>1E-11 - 1E-8</t>
  </si>
  <si>
    <t>double layer capacitance</t>
  </si>
  <si>
    <t>battery capacity</t>
  </si>
  <si>
    <t>Inductance</t>
  </si>
  <si>
    <t>inductive dispersion exponent</t>
  </si>
  <si>
    <t>dlnf/dlnce</t>
  </si>
  <si>
    <t>electronic conductivity</t>
  </si>
  <si>
    <t>conductivity activation energy</t>
  </si>
  <si>
    <t>derivative activity coefficient concentraion reference</t>
  </si>
  <si>
    <t>derivative activity coefficient concentraion energy</t>
  </si>
  <si>
    <t>filler binder volume fraction</t>
  </si>
  <si>
    <t>reaction rate coefficient reference</t>
  </si>
  <si>
    <t>SEI film resistance</t>
  </si>
  <si>
    <t>SEI molar mass</t>
  </si>
  <si>
    <t xml:space="preserve">SEI density </t>
  </si>
  <si>
    <t>SEI conductivity</t>
  </si>
  <si>
    <t>LAM rate loss</t>
  </si>
  <si>
    <t>fermi electron velocity</t>
  </si>
  <si>
    <t>electron mass</t>
  </si>
  <si>
    <t>energy barrier</t>
  </si>
  <si>
    <t>electron tunneling probability</t>
  </si>
  <si>
    <t>1.9793*exp(-39.3631*stoichiometry)+0.2482-0.0909*tanh(29.8538*(stoichiometry-0.1234))-0.04478*tanh(14.9159*(stoichiometry-0.2769))-0.0205*tanh(30.4444*(stoichiometry-0.6103))</t>
  </si>
  <si>
    <t>-0.809*stoichiometry+4.4875-0.0428*tanh(18.5138*(stoichiometry-0.5542))-17.7326*tanh(15.789*(stoichiometry-0.3117))+17.5842*tanh(15.9308*(stoichiometry-0.312))</t>
  </si>
  <si>
    <t>SEI inner thickness initial</t>
  </si>
  <si>
    <t>SEI outer thickness initial</t>
  </si>
  <si>
    <t>SEI thickness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</si>
</sst>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perscript"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0" xfId="0" applyFont="1" applyFill="1" applyProtection="1">
      <protection locked="0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wrapText="1"/>
      <protection locked="0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left"/>
      <protection locked="0"/>
    </xf>
    <xf numFmtId="11" fontId="2" fillId="0" borderId="0" xfId="0" applyNumberFormat="1" applyFont="1" applyAlignment="1">
      <alignment horizontal="left" vertical="center"/>
    </xf>
    <xf numFmtId="11" fontId="2" fillId="0" borderId="0" xfId="0" applyNumberFormat="1" applyFont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11" fontId="2" fillId="0" borderId="0" xfId="0" applyNumberFormat="1" applyFont="1"/>
    <xf numFmtId="0" fontId="2" fillId="0" borderId="0" xfId="0" applyFont="1" applyAlignment="1" applyProtection="1">
      <alignment horizontal="left" vertical="center"/>
      <protection locked="0"/>
    </xf>
    <xf numFmtId="0" fontId="2" fillId="4" borderId="0" xfId="0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985D-5F8A-48FA-B4EF-A05589E05952}">
  <dimension ref="A1:F42"/>
  <sheetViews>
    <sheetView workbookViewId="0">
      <selection activeCell="C26" sqref="C26"/>
    </sheetView>
  </sheetViews>
  <sheetFormatPr defaultRowHeight="14.4" x14ac:dyDescent="0.3"/>
  <cols>
    <col min="1" max="1" width="21.33203125" bestFit="1" customWidth="1"/>
    <col min="2" max="2" width="36.44140625" bestFit="1" customWidth="1"/>
    <col min="3" max="3" width="38.109375" customWidth="1"/>
    <col min="4" max="4" width="6.5546875" bestFit="1" customWidth="1"/>
    <col min="5" max="5" width="12" bestFit="1" customWidth="1"/>
    <col min="6" max="6" width="48.109375" bestFit="1" customWidth="1"/>
  </cols>
  <sheetData>
    <row r="1" spans="1:6" ht="18.600000000000001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600000000000001" thickTop="1" x14ac:dyDescent="0.35">
      <c r="A2" s="3" t="s">
        <v>6</v>
      </c>
      <c r="B2" s="3"/>
      <c r="C2" s="4"/>
      <c r="D2" s="5"/>
      <c r="E2" s="5"/>
      <c r="F2" s="3"/>
    </row>
    <row r="3" spans="1:6" ht="18" x14ac:dyDescent="0.35">
      <c r="A3" s="6"/>
      <c r="B3" s="6" t="s">
        <v>7</v>
      </c>
      <c r="C3" s="7">
        <v>0.2054</v>
      </c>
      <c r="D3" s="8" t="s">
        <v>8</v>
      </c>
      <c r="E3" s="8" t="s">
        <v>9</v>
      </c>
      <c r="F3" s="6" t="s">
        <v>10</v>
      </c>
    </row>
    <row r="4" spans="1:6" ht="18" x14ac:dyDescent="0.35">
      <c r="A4" s="3" t="s">
        <v>11</v>
      </c>
      <c r="B4" s="3"/>
      <c r="C4" s="4"/>
      <c r="D4" s="5"/>
      <c r="E4" s="5"/>
      <c r="F4" s="3"/>
    </row>
    <row r="5" spans="1:6" ht="18" x14ac:dyDescent="0.35">
      <c r="A5" s="6"/>
      <c r="B5" s="6" t="s">
        <v>12</v>
      </c>
      <c r="C5" s="7"/>
      <c r="D5" s="8" t="s">
        <v>9</v>
      </c>
      <c r="E5" s="8" t="s">
        <v>9</v>
      </c>
      <c r="F5" s="6" t="s">
        <v>13</v>
      </c>
    </row>
    <row r="6" spans="1:6" ht="18" x14ac:dyDescent="0.35">
      <c r="A6" s="6"/>
      <c r="B6" s="6" t="s">
        <v>7</v>
      </c>
      <c r="C6" s="7">
        <v>0.10465000000000001</v>
      </c>
      <c r="D6" s="8"/>
      <c r="E6" s="8"/>
      <c r="F6" s="6"/>
    </row>
    <row r="7" spans="1:6" ht="18" x14ac:dyDescent="0.35">
      <c r="A7" s="6"/>
      <c r="B7" s="6" t="s">
        <v>14</v>
      </c>
      <c r="C7" s="15">
        <v>8.5199999999999997E-5</v>
      </c>
      <c r="D7" s="8" t="s">
        <v>15</v>
      </c>
      <c r="E7" s="8" t="s">
        <v>16</v>
      </c>
      <c r="F7" s="6" t="s">
        <v>10</v>
      </c>
    </row>
    <row r="8" spans="1:6" ht="18" x14ac:dyDescent="0.35">
      <c r="A8" s="6"/>
      <c r="B8" s="6" t="s">
        <v>17</v>
      </c>
      <c r="C8" s="15">
        <v>6.3E-2</v>
      </c>
      <c r="D8" s="8" t="s">
        <v>18</v>
      </c>
      <c r="E8" s="8" t="s">
        <v>19</v>
      </c>
      <c r="F8" s="6" t="s">
        <v>10</v>
      </c>
    </row>
    <row r="9" spans="1:6" ht="18" x14ac:dyDescent="0.35">
      <c r="A9" s="6"/>
      <c r="B9" s="6" t="s">
        <v>20</v>
      </c>
      <c r="C9" s="15">
        <v>0.79700000000000004</v>
      </c>
      <c r="D9" s="8" t="s">
        <v>18</v>
      </c>
      <c r="E9" s="8" t="s">
        <v>21</v>
      </c>
      <c r="F9" s="6" t="s">
        <v>10</v>
      </c>
    </row>
    <row r="10" spans="1:6" ht="18" x14ac:dyDescent="0.35">
      <c r="A10" s="6"/>
      <c r="B10" s="6" t="s">
        <v>22</v>
      </c>
      <c r="C10" s="7">
        <v>1</v>
      </c>
      <c r="D10" s="8" t="s">
        <v>9</v>
      </c>
      <c r="E10" s="8" t="s">
        <v>9</v>
      </c>
      <c r="F10" s="6" t="s">
        <v>10</v>
      </c>
    </row>
    <row r="11" spans="1:6" ht="18" x14ac:dyDescent="0.35">
      <c r="A11" s="6"/>
      <c r="B11" s="6" t="s">
        <v>23</v>
      </c>
      <c r="C11" s="15">
        <v>1.2E-5</v>
      </c>
      <c r="D11" s="8" t="s">
        <v>15</v>
      </c>
      <c r="E11" s="8" t="s">
        <v>9</v>
      </c>
      <c r="F11" s="6" t="s">
        <v>10</v>
      </c>
    </row>
    <row r="12" spans="1:6" ht="18" x14ac:dyDescent="0.35">
      <c r="A12" s="6"/>
      <c r="B12" s="6" t="s">
        <v>24</v>
      </c>
      <c r="C12" s="7">
        <v>0.75</v>
      </c>
      <c r="D12" s="8" t="s">
        <v>9</v>
      </c>
      <c r="E12" s="8" t="s">
        <v>25</v>
      </c>
      <c r="F12" s="6" t="s">
        <v>10</v>
      </c>
    </row>
    <row r="13" spans="1:6" ht="18" x14ac:dyDescent="0.35">
      <c r="A13" s="6"/>
      <c r="B13" s="6" t="s">
        <v>26</v>
      </c>
      <c r="C13" s="7">
        <v>0.25</v>
      </c>
      <c r="D13" s="8" t="s">
        <v>9</v>
      </c>
      <c r="E13" s="8" t="s">
        <v>27</v>
      </c>
      <c r="F13" s="6" t="s">
        <v>10</v>
      </c>
    </row>
    <row r="14" spans="1:6" ht="18" x14ac:dyDescent="0.35">
      <c r="A14" s="6"/>
      <c r="B14" s="6" t="s">
        <v>28</v>
      </c>
      <c r="C14" s="15">
        <v>5.8599999999999998E-6</v>
      </c>
      <c r="D14" s="8" t="s">
        <v>15</v>
      </c>
      <c r="E14" s="9" t="s">
        <v>29</v>
      </c>
      <c r="F14" s="6" t="s">
        <v>30</v>
      </c>
    </row>
    <row r="15" spans="1:6" ht="18" x14ac:dyDescent="0.35">
      <c r="A15" s="6"/>
      <c r="B15" s="6" t="s">
        <v>31</v>
      </c>
      <c r="C15" s="7">
        <v>1</v>
      </c>
      <c r="D15" s="8" t="s">
        <v>9</v>
      </c>
      <c r="E15" s="8" t="s">
        <v>9</v>
      </c>
      <c r="F15" s="6" t="s">
        <v>30</v>
      </c>
    </row>
    <row r="16" spans="1:6" ht="18" x14ac:dyDescent="0.35">
      <c r="A16" s="6"/>
      <c r="B16" s="6" t="s">
        <v>32</v>
      </c>
      <c r="C16" s="7">
        <v>10</v>
      </c>
      <c r="D16" s="8" t="s">
        <v>9</v>
      </c>
      <c r="E16" s="8" t="s">
        <v>9</v>
      </c>
      <c r="F16" s="6" t="s">
        <v>30</v>
      </c>
    </row>
    <row r="17" spans="1:6" ht="18" x14ac:dyDescent="0.35">
      <c r="A17" s="6"/>
      <c r="B17" s="6" t="s">
        <v>33</v>
      </c>
      <c r="C17" s="7">
        <v>10</v>
      </c>
      <c r="D17" s="8" t="s">
        <v>9</v>
      </c>
      <c r="E17" s="8" t="s">
        <v>9</v>
      </c>
      <c r="F17" s="6" t="s">
        <v>10</v>
      </c>
    </row>
    <row r="18" spans="1:6" ht="18" x14ac:dyDescent="0.35">
      <c r="A18" s="6"/>
      <c r="B18" s="6" t="s">
        <v>108</v>
      </c>
      <c r="C18" s="7"/>
      <c r="D18" s="8"/>
      <c r="E18" s="8"/>
      <c r="F18" s="6"/>
    </row>
    <row r="19" spans="1:6" ht="18" x14ac:dyDescent="0.35">
      <c r="A19" s="6"/>
      <c r="B19" s="6" t="s">
        <v>121</v>
      </c>
      <c r="C19" s="15"/>
      <c r="D19" s="8"/>
      <c r="E19" s="8"/>
      <c r="F19" s="6"/>
    </row>
    <row r="20" spans="1:6" ht="18" x14ac:dyDescent="0.35">
      <c r="A20" s="6"/>
      <c r="B20" s="6" t="s">
        <v>122</v>
      </c>
      <c r="C20" s="15"/>
      <c r="D20" s="8"/>
      <c r="E20" s="8"/>
      <c r="F20" s="6"/>
    </row>
    <row r="21" spans="1:6" ht="18" x14ac:dyDescent="0.35">
      <c r="A21" s="6"/>
      <c r="B21" s="6" t="s">
        <v>123</v>
      </c>
      <c r="C21" s="15"/>
      <c r="D21" s="8"/>
      <c r="E21" s="8"/>
      <c r="F21" s="6"/>
    </row>
    <row r="22" spans="1:6" ht="18" x14ac:dyDescent="0.35">
      <c r="A22" s="6"/>
      <c r="B22" s="6" t="s">
        <v>111</v>
      </c>
      <c r="C22" s="15"/>
      <c r="D22" s="8"/>
      <c r="E22" s="8"/>
      <c r="F22" s="6"/>
    </row>
    <row r="23" spans="1:6" ht="18" x14ac:dyDescent="0.35">
      <c r="A23" s="6"/>
      <c r="B23" s="6" t="s">
        <v>112</v>
      </c>
      <c r="C23" s="17"/>
      <c r="D23" s="8"/>
      <c r="E23" s="8"/>
      <c r="F23" s="6"/>
    </row>
    <row r="24" spans="1:6" ht="18" x14ac:dyDescent="0.35">
      <c r="A24" s="3" t="s">
        <v>34</v>
      </c>
      <c r="B24" s="3"/>
      <c r="C24" s="4"/>
      <c r="D24" s="5"/>
      <c r="E24" s="5"/>
      <c r="F24" s="3"/>
    </row>
    <row r="25" spans="1:6" ht="18" x14ac:dyDescent="0.35">
      <c r="A25" s="6"/>
      <c r="B25" s="6" t="s">
        <v>12</v>
      </c>
      <c r="C25" s="7"/>
      <c r="D25" s="8" t="s">
        <v>9</v>
      </c>
      <c r="E25" s="8" t="s">
        <v>9</v>
      </c>
      <c r="F25" s="6" t="s">
        <v>13</v>
      </c>
    </row>
    <row r="26" spans="1:6" ht="18" x14ac:dyDescent="0.35">
      <c r="A26" s="6"/>
      <c r="B26" s="6" t="s">
        <v>7</v>
      </c>
      <c r="C26" s="7">
        <v>0.1027</v>
      </c>
      <c r="D26" s="8"/>
      <c r="E26" s="8"/>
      <c r="F26" s="6"/>
    </row>
    <row r="27" spans="1:6" ht="18" x14ac:dyDescent="0.35">
      <c r="A27" s="6"/>
      <c r="B27" s="6" t="s">
        <v>14</v>
      </c>
      <c r="C27" s="15">
        <v>7.5599999999999994E-5</v>
      </c>
      <c r="D27" s="8" t="s">
        <v>15</v>
      </c>
      <c r="E27" s="8" t="s">
        <v>35</v>
      </c>
      <c r="F27" s="6" t="s">
        <v>10</v>
      </c>
    </row>
    <row r="28" spans="1:6" ht="18" x14ac:dyDescent="0.35">
      <c r="A28" s="6"/>
      <c r="B28" s="6" t="s">
        <v>17</v>
      </c>
      <c r="C28" s="15">
        <v>6.5000000000000002E-2</v>
      </c>
      <c r="D28" s="8" t="s">
        <v>18</v>
      </c>
      <c r="E28" s="8" t="s">
        <v>19</v>
      </c>
      <c r="F28" s="6" t="s">
        <v>10</v>
      </c>
    </row>
    <row r="29" spans="1:6" ht="18" x14ac:dyDescent="0.35">
      <c r="A29" s="6"/>
      <c r="B29" s="6" t="s">
        <v>20</v>
      </c>
      <c r="C29" s="15">
        <v>1.5940000000000001</v>
      </c>
      <c r="D29" s="8" t="s">
        <v>18</v>
      </c>
      <c r="E29" s="8" t="s">
        <v>21</v>
      </c>
      <c r="F29" s="6" t="s">
        <v>10</v>
      </c>
    </row>
    <row r="30" spans="1:6" ht="18" x14ac:dyDescent="0.35">
      <c r="A30" s="6"/>
      <c r="B30" s="6" t="s">
        <v>22</v>
      </c>
      <c r="C30" s="7">
        <v>1</v>
      </c>
      <c r="D30" s="8" t="s">
        <v>9</v>
      </c>
      <c r="E30" s="8" t="s">
        <v>9</v>
      </c>
      <c r="F30" s="6" t="s">
        <v>10</v>
      </c>
    </row>
    <row r="31" spans="1:6" ht="18" x14ac:dyDescent="0.35">
      <c r="A31" s="6"/>
      <c r="B31" s="6" t="s">
        <v>23</v>
      </c>
      <c r="C31" s="15">
        <v>1.5999999999999999E-5</v>
      </c>
      <c r="D31" s="8" t="s">
        <v>15</v>
      </c>
      <c r="E31" s="8" t="s">
        <v>9</v>
      </c>
      <c r="F31" s="6" t="s">
        <v>10</v>
      </c>
    </row>
    <row r="32" spans="1:6" ht="18" x14ac:dyDescent="0.35">
      <c r="A32" s="6"/>
      <c r="B32" s="6" t="s">
        <v>24</v>
      </c>
      <c r="C32" s="7">
        <v>0.66500000000000004</v>
      </c>
      <c r="D32" s="8" t="s">
        <v>9</v>
      </c>
      <c r="E32" s="8" t="s">
        <v>36</v>
      </c>
      <c r="F32" s="6" t="s">
        <v>10</v>
      </c>
    </row>
    <row r="33" spans="1:6" ht="18" x14ac:dyDescent="0.35">
      <c r="A33" s="6"/>
      <c r="B33" s="6" t="s">
        <v>26</v>
      </c>
      <c r="C33" s="7">
        <v>0.33500000000000002</v>
      </c>
      <c r="D33" s="8" t="s">
        <v>9</v>
      </c>
      <c r="E33" s="8" t="s">
        <v>37</v>
      </c>
      <c r="F33" s="6" t="s">
        <v>10</v>
      </c>
    </row>
    <row r="34" spans="1:6" ht="18" x14ac:dyDescent="0.35">
      <c r="A34" s="6"/>
      <c r="B34" s="6" t="s">
        <v>28</v>
      </c>
      <c r="C34" s="15">
        <v>5.22E-6</v>
      </c>
      <c r="D34" s="8" t="s">
        <v>15</v>
      </c>
      <c r="E34" s="9" t="s">
        <v>38</v>
      </c>
      <c r="F34" s="6" t="s">
        <v>30</v>
      </c>
    </row>
    <row r="35" spans="1:6" ht="18" x14ac:dyDescent="0.35">
      <c r="A35" s="6"/>
      <c r="B35" s="6" t="s">
        <v>31</v>
      </c>
      <c r="C35" s="7">
        <v>1</v>
      </c>
      <c r="D35" s="8" t="s">
        <v>9</v>
      </c>
      <c r="E35" s="8" t="s">
        <v>9</v>
      </c>
      <c r="F35" s="6" t="s">
        <v>30</v>
      </c>
    </row>
    <row r="36" spans="1:6" ht="18" x14ac:dyDescent="0.35">
      <c r="A36" s="6"/>
      <c r="B36" s="6" t="s">
        <v>32</v>
      </c>
      <c r="C36" s="7">
        <v>10</v>
      </c>
      <c r="D36" s="8" t="s">
        <v>9</v>
      </c>
      <c r="E36" s="8" t="s">
        <v>9</v>
      </c>
      <c r="F36" s="6" t="s">
        <v>30</v>
      </c>
    </row>
    <row r="37" spans="1:6" ht="18" x14ac:dyDescent="0.35">
      <c r="A37" s="6"/>
      <c r="B37" s="6" t="s">
        <v>33</v>
      </c>
      <c r="C37" s="7">
        <v>10</v>
      </c>
      <c r="D37" s="8" t="s">
        <v>9</v>
      </c>
      <c r="E37" s="8" t="s">
        <v>9</v>
      </c>
      <c r="F37" s="6" t="s">
        <v>10</v>
      </c>
    </row>
    <row r="38" spans="1:6" ht="18" x14ac:dyDescent="0.35">
      <c r="A38" s="6"/>
      <c r="B38" s="6" t="s">
        <v>108</v>
      </c>
      <c r="C38" s="7"/>
      <c r="D38" s="8"/>
      <c r="E38" s="8"/>
      <c r="F38" s="6"/>
    </row>
    <row r="39" spans="1:6" ht="18" x14ac:dyDescent="0.35">
      <c r="A39" s="3" t="s">
        <v>39</v>
      </c>
      <c r="B39" s="3"/>
      <c r="C39" s="4"/>
      <c r="D39" s="5"/>
      <c r="E39" s="5"/>
      <c r="F39" s="3"/>
    </row>
    <row r="40" spans="1:6" ht="18" x14ac:dyDescent="0.35">
      <c r="A40" s="6"/>
      <c r="B40" s="6" t="s">
        <v>14</v>
      </c>
      <c r="C40" s="15">
        <v>1.2E-5</v>
      </c>
      <c r="D40" s="8" t="s">
        <v>15</v>
      </c>
      <c r="E40" s="9" t="s">
        <v>40</v>
      </c>
      <c r="F40" s="6" t="s">
        <v>10</v>
      </c>
    </row>
    <row r="41" spans="1:6" ht="18" x14ac:dyDescent="0.35">
      <c r="A41" s="6"/>
      <c r="B41" s="6" t="s">
        <v>26</v>
      </c>
      <c r="C41" s="7">
        <v>0.47</v>
      </c>
      <c r="D41" s="8" t="s">
        <v>9</v>
      </c>
      <c r="E41" s="8" t="s">
        <v>41</v>
      </c>
      <c r="F41" s="6" t="s">
        <v>10</v>
      </c>
    </row>
    <row r="42" spans="1:6" ht="18" x14ac:dyDescent="0.35">
      <c r="A42" s="6"/>
      <c r="B42" s="6" t="s">
        <v>42</v>
      </c>
      <c r="C42" s="7">
        <v>6</v>
      </c>
      <c r="D42" s="8" t="s">
        <v>9</v>
      </c>
      <c r="E42" s="8" t="s">
        <v>9</v>
      </c>
      <c r="F42" s="6" t="s">
        <v>10</v>
      </c>
    </row>
  </sheetData>
  <dataValidations count="1">
    <dataValidation type="decimal" allowBlank="1" showErrorMessage="1" errorTitle="Invalid Input" error="Only numbers are allowed in the Values column." prompt="Please enter a number." sqref="C3 C5:C22 C40:C42 C25:C38" xr:uid="{64BDEE0F-FC43-46A0-83AE-D03DDBD6EF1D}">
      <formula1>-99999999999999900000</formula1>
      <formula2>99999999999999900000</formula2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5B71-EF47-4A97-9377-F26593BA5792}">
  <dimension ref="A1:F7"/>
  <sheetViews>
    <sheetView workbookViewId="0">
      <selection activeCell="C3" sqref="C3"/>
    </sheetView>
  </sheetViews>
  <sheetFormatPr defaultRowHeight="14.4" x14ac:dyDescent="0.3"/>
  <cols>
    <col min="1" max="1" width="21.33203125" bestFit="1" customWidth="1"/>
    <col min="2" max="2" width="29.88671875" customWidth="1"/>
    <col min="3" max="3" width="37.6640625" customWidth="1"/>
    <col min="6" max="6" width="22.21875" bestFit="1" customWidth="1"/>
  </cols>
  <sheetData>
    <row r="1" spans="1:6" ht="18.600000000000001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600000000000001" thickTop="1" x14ac:dyDescent="0.35">
      <c r="A2" s="3" t="s">
        <v>11</v>
      </c>
      <c r="B2" s="3"/>
      <c r="C2" s="4"/>
      <c r="D2" s="5"/>
      <c r="E2" s="5"/>
      <c r="F2" s="3"/>
    </row>
    <row r="3" spans="1:6" ht="18" x14ac:dyDescent="0.35">
      <c r="A3" s="6"/>
      <c r="B3" s="6" t="s">
        <v>43</v>
      </c>
      <c r="C3" s="7">
        <v>29583</v>
      </c>
      <c r="D3" s="8" t="s">
        <v>44</v>
      </c>
      <c r="E3" s="8" t="s">
        <v>45</v>
      </c>
      <c r="F3" s="6" t="s">
        <v>10</v>
      </c>
    </row>
    <row r="4" spans="1:6" ht="18" x14ac:dyDescent="0.35">
      <c r="A4" s="3" t="s">
        <v>34</v>
      </c>
      <c r="B4" s="3"/>
      <c r="C4" s="4"/>
      <c r="D4" s="5"/>
      <c r="E4" s="5"/>
      <c r="F4" s="3"/>
    </row>
    <row r="5" spans="1:6" ht="18" x14ac:dyDescent="0.35">
      <c r="A5" s="6"/>
      <c r="B5" s="6" t="s">
        <v>43</v>
      </c>
      <c r="C5" s="7">
        <v>51765</v>
      </c>
      <c r="D5" s="8" t="s">
        <v>44</v>
      </c>
      <c r="E5" s="8" t="s">
        <v>46</v>
      </c>
      <c r="F5" s="6" t="s">
        <v>10</v>
      </c>
    </row>
    <row r="6" spans="1:6" ht="18" x14ac:dyDescent="0.35">
      <c r="A6" s="3" t="s">
        <v>47</v>
      </c>
      <c r="B6" s="3"/>
      <c r="C6" s="4"/>
      <c r="D6" s="5"/>
      <c r="E6" s="5"/>
      <c r="F6" s="3"/>
    </row>
    <row r="7" spans="1:6" ht="18" x14ac:dyDescent="0.35">
      <c r="A7" s="6"/>
      <c r="B7" s="6" t="s">
        <v>48</v>
      </c>
      <c r="C7" s="7">
        <v>1000</v>
      </c>
      <c r="D7" s="8" t="s">
        <v>49</v>
      </c>
      <c r="E7" s="8" t="s">
        <v>50</v>
      </c>
      <c r="F7" s="6" t="s">
        <v>10</v>
      </c>
    </row>
  </sheetData>
  <dataValidations count="1">
    <dataValidation type="decimal" allowBlank="1" showErrorMessage="1" errorTitle="Invalid Input" error="Only numbers are allowed in the Values column." prompt="Please enter a number." sqref="C3 C7 C5" xr:uid="{5B540638-E8F7-4130-B0E9-33F7D724FFAE}">
      <formula1>-99999999999999900000</formula1>
      <formula2>99999999999999900000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2339-7F00-4535-B5D8-C0C0D138703D}">
  <dimension ref="A1:F22"/>
  <sheetViews>
    <sheetView workbookViewId="0">
      <selection activeCell="C7" sqref="C7"/>
    </sheetView>
  </sheetViews>
  <sheetFormatPr defaultRowHeight="14.4" x14ac:dyDescent="0.3"/>
  <cols>
    <col min="1" max="1" width="22.21875" bestFit="1" customWidth="1"/>
    <col min="2" max="2" width="55.33203125" bestFit="1" customWidth="1"/>
    <col min="3" max="3" width="59.21875" bestFit="1" customWidth="1"/>
    <col min="4" max="4" width="7.109375" bestFit="1" customWidth="1"/>
    <col min="5" max="5" width="19.5546875" bestFit="1" customWidth="1"/>
    <col min="6" max="6" width="22.21875" bestFit="1" customWidth="1"/>
  </cols>
  <sheetData>
    <row r="1" spans="1:6" ht="18.600000000000001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600000000000001" thickTop="1" x14ac:dyDescent="0.35">
      <c r="A2" s="3" t="s">
        <v>11</v>
      </c>
      <c r="B2" s="3"/>
      <c r="C2" s="4"/>
      <c r="D2" s="5"/>
      <c r="E2" s="5"/>
      <c r="F2" s="3"/>
    </row>
    <row r="3" spans="1:6" ht="19.8" x14ac:dyDescent="0.35">
      <c r="A3" s="6"/>
      <c r="B3" s="6" t="s">
        <v>57</v>
      </c>
      <c r="C3" s="15">
        <v>1.7400000000000001E-15</v>
      </c>
      <c r="D3" s="8" t="s">
        <v>58</v>
      </c>
      <c r="E3" s="8" t="s">
        <v>59</v>
      </c>
      <c r="F3" s="6" t="s">
        <v>10</v>
      </c>
    </row>
    <row r="4" spans="1:6" ht="18" x14ac:dyDescent="0.35">
      <c r="A4" s="6"/>
      <c r="B4" s="6" t="s">
        <v>55</v>
      </c>
      <c r="C4" s="15">
        <v>35000</v>
      </c>
      <c r="D4" s="8" t="s">
        <v>9</v>
      </c>
      <c r="E4" s="8" t="s">
        <v>56</v>
      </c>
      <c r="F4" s="6" t="s">
        <v>10</v>
      </c>
    </row>
    <row r="5" spans="1:6" ht="18" x14ac:dyDescent="0.35">
      <c r="A5" s="6"/>
      <c r="B5" s="6" t="s">
        <v>104</v>
      </c>
      <c r="C5" s="7">
        <v>215</v>
      </c>
      <c r="D5" s="8" t="s">
        <v>51</v>
      </c>
      <c r="E5" s="8" t="s">
        <v>52</v>
      </c>
      <c r="F5" s="6" t="s">
        <v>10</v>
      </c>
    </row>
    <row r="6" spans="1:6" ht="18" x14ac:dyDescent="0.35">
      <c r="A6" s="6"/>
      <c r="B6" s="6" t="s">
        <v>53</v>
      </c>
      <c r="C6" s="7">
        <v>1.5</v>
      </c>
      <c r="D6" s="8" t="s">
        <v>9</v>
      </c>
      <c r="E6" s="8" t="s">
        <v>54</v>
      </c>
      <c r="F6" s="6" t="s">
        <v>10</v>
      </c>
    </row>
    <row r="7" spans="1:6" ht="18" x14ac:dyDescent="0.35">
      <c r="A7" s="6"/>
      <c r="B7" s="6" t="s">
        <v>113</v>
      </c>
      <c r="C7" s="15"/>
      <c r="D7" s="8"/>
      <c r="E7" s="8"/>
      <c r="F7" s="6"/>
    </row>
    <row r="8" spans="1:6" ht="18" x14ac:dyDescent="0.35">
      <c r="A8" s="3" t="s">
        <v>34</v>
      </c>
      <c r="B8" s="3"/>
      <c r="C8" s="4"/>
      <c r="D8" s="5"/>
      <c r="E8" s="5"/>
      <c r="F8" s="3"/>
    </row>
    <row r="9" spans="1:6" ht="19.8" x14ac:dyDescent="0.35">
      <c r="A9" s="6"/>
      <c r="B9" s="6" t="s">
        <v>57</v>
      </c>
      <c r="C9" s="15">
        <v>1.48E-15</v>
      </c>
      <c r="D9" s="8" t="s">
        <v>58</v>
      </c>
      <c r="E9" s="8" t="s">
        <v>62</v>
      </c>
      <c r="F9" s="6" t="s">
        <v>10</v>
      </c>
    </row>
    <row r="10" spans="1:6" ht="18" x14ac:dyDescent="0.35">
      <c r="A10" s="6"/>
      <c r="B10" s="6" t="s">
        <v>55</v>
      </c>
      <c r="C10" s="15">
        <v>17800</v>
      </c>
      <c r="D10" s="8" t="s">
        <v>9</v>
      </c>
      <c r="E10" s="8" t="s">
        <v>61</v>
      </c>
      <c r="F10" s="6" t="s">
        <v>10</v>
      </c>
    </row>
    <row r="11" spans="1:6" ht="18" x14ac:dyDescent="0.35">
      <c r="A11" s="6"/>
      <c r="B11" s="6" t="s">
        <v>104</v>
      </c>
      <c r="C11" s="7">
        <v>0.18</v>
      </c>
      <c r="D11" s="8" t="s">
        <v>51</v>
      </c>
      <c r="E11" s="8" t="s">
        <v>60</v>
      </c>
      <c r="F11" s="6" t="s">
        <v>10</v>
      </c>
    </row>
    <row r="12" spans="1:6" ht="18" x14ac:dyDescent="0.35">
      <c r="A12" s="6"/>
      <c r="B12" s="6" t="s">
        <v>53</v>
      </c>
      <c r="C12" s="7">
        <v>1.5</v>
      </c>
      <c r="D12" s="8" t="s">
        <v>9</v>
      </c>
      <c r="E12" s="8" t="s">
        <v>54</v>
      </c>
      <c r="F12" s="6" t="s">
        <v>10</v>
      </c>
    </row>
    <row r="13" spans="1:6" ht="18" x14ac:dyDescent="0.35">
      <c r="A13" s="3" t="s">
        <v>39</v>
      </c>
      <c r="B13" s="3"/>
      <c r="C13" s="4"/>
      <c r="D13" s="5"/>
      <c r="E13" s="5"/>
      <c r="F13" s="3"/>
    </row>
    <row r="14" spans="1:6" ht="18" x14ac:dyDescent="0.35">
      <c r="A14" s="6"/>
      <c r="B14" s="6" t="s">
        <v>53</v>
      </c>
      <c r="C14" s="7">
        <v>1.5</v>
      </c>
      <c r="D14" s="8" t="s">
        <v>9</v>
      </c>
      <c r="E14" s="8" t="s">
        <v>54</v>
      </c>
      <c r="F14" s="6" t="s">
        <v>10</v>
      </c>
    </row>
    <row r="15" spans="1:6" ht="18" x14ac:dyDescent="0.35">
      <c r="A15" s="3" t="s">
        <v>47</v>
      </c>
      <c r="B15" s="3"/>
      <c r="C15" s="4"/>
      <c r="D15" s="5"/>
      <c r="E15" s="5"/>
      <c r="F15" s="3"/>
    </row>
    <row r="16" spans="1:6" ht="19.8" x14ac:dyDescent="0.35">
      <c r="A16" s="6"/>
      <c r="B16" s="6" t="s">
        <v>57</v>
      </c>
      <c r="C16" s="15">
        <v>5.1999999999999996E-10</v>
      </c>
      <c r="D16" s="8" t="s">
        <v>58</v>
      </c>
      <c r="E16" s="8" t="s">
        <v>63</v>
      </c>
      <c r="F16" s="6" t="s">
        <v>10</v>
      </c>
    </row>
    <row r="17" spans="1:6" ht="18" x14ac:dyDescent="0.35">
      <c r="A17" s="6"/>
      <c r="B17" s="6" t="s">
        <v>55</v>
      </c>
      <c r="C17" s="7"/>
      <c r="D17" s="8"/>
      <c r="E17" s="8"/>
      <c r="F17" s="6"/>
    </row>
    <row r="18" spans="1:6" ht="18" x14ac:dyDescent="0.35">
      <c r="A18" s="6"/>
      <c r="B18" s="6" t="s">
        <v>65</v>
      </c>
      <c r="C18" s="7">
        <v>1.3</v>
      </c>
      <c r="D18" s="8" t="s">
        <v>9</v>
      </c>
      <c r="E18" s="8" t="s">
        <v>9</v>
      </c>
      <c r="F18" s="6" t="s">
        <v>10</v>
      </c>
    </row>
    <row r="19" spans="1:6" ht="18" x14ac:dyDescent="0.35">
      <c r="A19" s="6"/>
      <c r="B19" s="6" t="s">
        <v>105</v>
      </c>
      <c r="C19" s="7"/>
      <c r="D19" s="8"/>
      <c r="E19" s="8"/>
      <c r="F19" s="6"/>
    </row>
    <row r="20" spans="1:6" ht="18" x14ac:dyDescent="0.35">
      <c r="A20" s="6"/>
      <c r="B20" s="6" t="s">
        <v>64</v>
      </c>
      <c r="C20" s="7">
        <v>0.25940000000000002</v>
      </c>
      <c r="D20" s="8" t="s">
        <v>9</v>
      </c>
      <c r="E20" s="8" t="s">
        <v>9</v>
      </c>
      <c r="F20" s="6" t="s">
        <v>10</v>
      </c>
    </row>
    <row r="21" spans="1:6" ht="18" x14ac:dyDescent="0.35">
      <c r="B21" s="6" t="s">
        <v>106</v>
      </c>
      <c r="C21" s="7"/>
      <c r="F21" s="6" t="s">
        <v>103</v>
      </c>
    </row>
    <row r="22" spans="1:6" ht="18" x14ac:dyDescent="0.35">
      <c r="B22" s="6" t="s">
        <v>107</v>
      </c>
    </row>
  </sheetData>
  <dataValidations count="1">
    <dataValidation type="decimal" allowBlank="1" showErrorMessage="1" errorTitle="Invalid Input" error="Only numbers are allowed in the Values column." prompt="Please enter a number." sqref="C9:C12 C14 C20 C16 C3:C6" xr:uid="{134071DC-D928-4401-BFBD-59C538C1B9AC}">
      <formula1>-99999999999999900000</formula1>
      <formula2>99999999999999900000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6446-4779-4B39-B482-AB82EC6AA7F7}">
  <dimension ref="A1:F19"/>
  <sheetViews>
    <sheetView tabSelected="1" workbookViewId="0">
      <selection activeCell="C17" sqref="C17"/>
    </sheetView>
  </sheetViews>
  <sheetFormatPr defaultRowHeight="14.4" x14ac:dyDescent="0.3"/>
  <cols>
    <col min="1" max="1" width="21.33203125" bestFit="1" customWidth="1"/>
    <col min="2" max="2" width="34.33203125" bestFit="1" customWidth="1"/>
    <col min="3" max="3" width="15.77734375" bestFit="1" customWidth="1"/>
    <col min="4" max="4" width="9.5546875" bestFit="1" customWidth="1"/>
    <col min="5" max="5" width="13.6640625" bestFit="1" customWidth="1"/>
    <col min="6" max="6" width="20.77734375" bestFit="1" customWidth="1"/>
  </cols>
  <sheetData>
    <row r="1" spans="1:6" ht="18.600000000000001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600000000000001" thickTop="1" x14ac:dyDescent="0.35">
      <c r="A2" s="3" t="s">
        <v>11</v>
      </c>
      <c r="B2" s="3"/>
      <c r="C2" s="4"/>
      <c r="D2" s="5"/>
      <c r="E2" s="5"/>
      <c r="F2" s="3"/>
    </row>
    <row r="3" spans="1:6" ht="18" x14ac:dyDescent="0.35">
      <c r="A3" s="6"/>
      <c r="B3" s="6" t="s">
        <v>91</v>
      </c>
      <c r="C3" s="7">
        <v>0.5</v>
      </c>
      <c r="D3" s="8" t="s">
        <v>9</v>
      </c>
      <c r="E3" s="8" t="s">
        <v>92</v>
      </c>
      <c r="F3" s="6" t="s">
        <v>10</v>
      </c>
    </row>
    <row r="4" spans="1:6" ht="18" x14ac:dyDescent="0.35">
      <c r="A4" s="6"/>
      <c r="B4" s="6" t="s">
        <v>109</v>
      </c>
      <c r="C4" s="15">
        <v>6.4799999999999998E-7</v>
      </c>
      <c r="D4" s="8" t="s">
        <v>9</v>
      </c>
      <c r="E4" s="8" t="s">
        <v>96</v>
      </c>
      <c r="F4" s="6" t="s">
        <v>10</v>
      </c>
    </row>
    <row r="5" spans="1:6" ht="18" x14ac:dyDescent="0.35">
      <c r="A5" s="6"/>
      <c r="B5" s="6" t="s">
        <v>93</v>
      </c>
      <c r="C5" s="7"/>
      <c r="D5" s="8" t="s">
        <v>9</v>
      </c>
      <c r="E5" s="8" t="s">
        <v>94</v>
      </c>
      <c r="F5" s="6" t="s">
        <v>10</v>
      </c>
    </row>
    <row r="6" spans="1:6" ht="18" x14ac:dyDescent="0.35">
      <c r="A6" s="6"/>
      <c r="B6" s="6" t="s">
        <v>99</v>
      </c>
      <c r="C6" s="19">
        <v>4.1999999999999997E-3</v>
      </c>
      <c r="D6" s="8"/>
      <c r="E6" s="8"/>
      <c r="F6" s="6"/>
    </row>
    <row r="7" spans="1:6" ht="18" x14ac:dyDescent="0.35">
      <c r="A7" s="6"/>
      <c r="B7" s="6" t="s">
        <v>101</v>
      </c>
      <c r="C7" s="19">
        <v>9.1043500000000004E-8</v>
      </c>
      <c r="D7" s="8"/>
      <c r="E7" s="8"/>
      <c r="F7" s="6"/>
    </row>
    <row r="8" spans="1:6" ht="18" x14ac:dyDescent="0.35">
      <c r="A8" s="6"/>
      <c r="B8" s="6" t="s">
        <v>114</v>
      </c>
      <c r="C8" s="15"/>
      <c r="D8" s="8"/>
      <c r="E8" s="8"/>
      <c r="F8" s="6"/>
    </row>
    <row r="9" spans="1:6" ht="18" x14ac:dyDescent="0.35">
      <c r="A9" s="6"/>
      <c r="B9" s="6" t="s">
        <v>115</v>
      </c>
      <c r="C9" s="15"/>
      <c r="D9" s="8"/>
      <c r="E9" s="8"/>
      <c r="F9" s="6"/>
    </row>
    <row r="10" spans="1:6" ht="18" x14ac:dyDescent="0.35">
      <c r="A10" s="6"/>
      <c r="B10" s="6" t="s">
        <v>116</v>
      </c>
      <c r="C10" s="15"/>
      <c r="D10" s="8"/>
      <c r="E10" s="8"/>
      <c r="F10" s="6"/>
    </row>
    <row r="11" spans="1:6" ht="18" x14ac:dyDescent="0.35">
      <c r="A11" s="6"/>
      <c r="B11" s="6" t="s">
        <v>117</v>
      </c>
      <c r="C11" s="7"/>
      <c r="D11" s="8"/>
      <c r="E11" s="8"/>
      <c r="F11" s="6"/>
    </row>
    <row r="12" spans="1:6" ht="18" x14ac:dyDescent="0.35">
      <c r="A12" s="6"/>
      <c r="B12" s="6" t="s">
        <v>118</v>
      </c>
      <c r="C12" s="7"/>
      <c r="D12" s="8"/>
      <c r="E12" s="8"/>
      <c r="F12" s="6"/>
    </row>
    <row r="13" spans="1:6" ht="18" x14ac:dyDescent="0.35">
      <c r="A13" s="3" t="s">
        <v>34</v>
      </c>
      <c r="B13" s="3"/>
      <c r="C13" s="4"/>
      <c r="D13" s="5"/>
      <c r="E13" s="5"/>
      <c r="F13" s="3"/>
    </row>
    <row r="14" spans="1:6" ht="18" x14ac:dyDescent="0.35">
      <c r="A14" s="6"/>
      <c r="B14" s="6" t="s">
        <v>91</v>
      </c>
      <c r="C14" s="7">
        <v>0.5</v>
      </c>
      <c r="D14" s="8" t="s">
        <v>9</v>
      </c>
      <c r="E14" s="8" t="s">
        <v>92</v>
      </c>
      <c r="F14" s="6" t="s">
        <v>10</v>
      </c>
    </row>
    <row r="15" spans="1:6" ht="18" x14ac:dyDescent="0.35">
      <c r="A15" s="6"/>
      <c r="B15" s="6" t="s">
        <v>109</v>
      </c>
      <c r="C15" s="15">
        <v>3.4199999999999999E-6</v>
      </c>
      <c r="D15" s="8" t="s">
        <v>9</v>
      </c>
      <c r="E15" s="8" t="s">
        <v>98</v>
      </c>
      <c r="F15" s="6" t="s">
        <v>10</v>
      </c>
    </row>
    <row r="16" spans="1:6" ht="18" x14ac:dyDescent="0.35">
      <c r="A16" s="6"/>
      <c r="B16" s="6" t="s">
        <v>93</v>
      </c>
      <c r="C16" s="7"/>
      <c r="D16" s="8" t="s">
        <v>9</v>
      </c>
      <c r="E16" s="8" t="s">
        <v>97</v>
      </c>
      <c r="F16" s="6" t="s">
        <v>10</v>
      </c>
    </row>
    <row r="17" spans="2:3" ht="18" x14ac:dyDescent="0.35">
      <c r="B17" s="6" t="s">
        <v>99</v>
      </c>
      <c r="C17" s="19">
        <v>2.3E-3</v>
      </c>
    </row>
    <row r="18" spans="2:3" ht="18" x14ac:dyDescent="0.35">
      <c r="B18" s="6" t="s">
        <v>114</v>
      </c>
      <c r="C18" s="15"/>
    </row>
    <row r="19" spans="2:3" ht="18" x14ac:dyDescent="0.35">
      <c r="B19" s="6" t="s">
        <v>101</v>
      </c>
      <c r="C19" s="19">
        <v>1.3695199999999999E-7</v>
      </c>
    </row>
  </sheetData>
  <dataValidations count="1">
    <dataValidation type="decimal" allowBlank="1" showErrorMessage="1" errorTitle="Invalid Input" error="Only numbers are allowed in the Values column." prompt="Please enter a number." sqref="C14:C16 C12 C3:C5 C8:C9" xr:uid="{60A711E3-9801-422E-92EE-54DF39870C08}">
      <formula1>-99999999999999900000</formula1>
      <formula2>99999999999999900000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8866-DFBD-43DE-89CD-0D5753927D11}">
  <dimension ref="A1:F9"/>
  <sheetViews>
    <sheetView topLeftCell="A5" workbookViewId="0">
      <selection activeCell="C10" sqref="C10"/>
    </sheetView>
  </sheetViews>
  <sheetFormatPr defaultRowHeight="14.4" x14ac:dyDescent="0.3"/>
  <cols>
    <col min="2" max="2" width="31.21875" bestFit="1" customWidth="1"/>
    <col min="3" max="3" width="62.77734375" customWidth="1"/>
  </cols>
  <sheetData>
    <row r="1" spans="1:6" ht="18.600000000000001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600000000000001" thickTop="1" x14ac:dyDescent="0.35">
      <c r="A2" s="3" t="s">
        <v>11</v>
      </c>
      <c r="B2" s="3"/>
      <c r="C2" s="4"/>
      <c r="D2" s="5"/>
      <c r="E2" s="5"/>
      <c r="F2" s="3"/>
    </row>
    <row r="3" spans="1:6" ht="18" x14ac:dyDescent="0.35">
      <c r="A3" s="6"/>
      <c r="B3" s="6" t="s">
        <v>66</v>
      </c>
      <c r="C3" s="7">
        <v>2.7900000000000001E-2</v>
      </c>
      <c r="D3" s="8" t="s">
        <v>9</v>
      </c>
      <c r="E3" s="8" t="s">
        <v>67</v>
      </c>
      <c r="F3" s="6" t="s">
        <v>10</v>
      </c>
    </row>
    <row r="4" spans="1:6" ht="18" x14ac:dyDescent="0.35">
      <c r="A4" s="6"/>
      <c r="B4" s="6" t="s">
        <v>68</v>
      </c>
      <c r="C4" s="7">
        <v>0.90139999999999998</v>
      </c>
      <c r="D4" s="8" t="s">
        <v>9</v>
      </c>
      <c r="E4" s="8" t="s">
        <v>67</v>
      </c>
      <c r="F4" s="6" t="s">
        <v>10</v>
      </c>
    </row>
    <row r="5" spans="1:6" ht="288" x14ac:dyDescent="0.35">
      <c r="A5" s="6"/>
      <c r="B5" s="6" t="s">
        <v>70</v>
      </c>
      <c r="C5" s="10" t="s">
        <v>119</v>
      </c>
      <c r="D5" s="8" t="s">
        <v>9</v>
      </c>
      <c r="E5" s="8" t="s">
        <v>9</v>
      </c>
      <c r="F5" s="6" t="s">
        <v>69</v>
      </c>
    </row>
    <row r="6" spans="1:6" ht="18" x14ac:dyDescent="0.35">
      <c r="A6" s="3" t="s">
        <v>34</v>
      </c>
      <c r="B6" s="3"/>
      <c r="C6" s="4"/>
      <c r="D6" s="5"/>
      <c r="E6" s="5"/>
      <c r="F6" s="3"/>
    </row>
    <row r="7" spans="1:6" ht="18" x14ac:dyDescent="0.35">
      <c r="A7" s="6"/>
      <c r="B7" s="6" t="s">
        <v>66</v>
      </c>
      <c r="C7" s="7">
        <v>0.90839999999999999</v>
      </c>
      <c r="D7" s="8" t="s">
        <v>9</v>
      </c>
      <c r="E7" s="8" t="s">
        <v>67</v>
      </c>
      <c r="F7" s="6" t="s">
        <v>10</v>
      </c>
    </row>
    <row r="8" spans="1:6" ht="18" x14ac:dyDescent="0.35">
      <c r="A8" s="6"/>
      <c r="B8" s="6" t="s">
        <v>68</v>
      </c>
      <c r="C8" s="7">
        <v>0.2661</v>
      </c>
      <c r="D8" s="8" t="s">
        <v>9</v>
      </c>
      <c r="E8" s="8" t="s">
        <v>67</v>
      </c>
      <c r="F8" s="6" t="s">
        <v>10</v>
      </c>
    </row>
    <row r="9" spans="1:6" ht="72" x14ac:dyDescent="0.35">
      <c r="A9" s="6"/>
      <c r="B9" s="6" t="s">
        <v>70</v>
      </c>
      <c r="C9" s="16" t="s">
        <v>120</v>
      </c>
      <c r="D9" s="8" t="s">
        <v>9</v>
      </c>
      <c r="E9" s="8" t="s">
        <v>9</v>
      </c>
      <c r="F9" s="6" t="s">
        <v>69</v>
      </c>
    </row>
  </sheetData>
  <dataValidations count="2">
    <dataValidation type="custom" allowBlank="1" showErrorMessage="1" errorTitle="Invalid Input" error="Enter text for the equation." prompt="Please enter a text string for the equation." sqref="C5 C9" xr:uid="{B33BA1E8-9965-4120-81B4-8CD39B5D4572}">
      <formula1>TRUE</formula1>
    </dataValidation>
    <dataValidation type="decimal" allowBlank="1" showErrorMessage="1" errorTitle="Invalid Input" error="Only numbers are allowed in the Values column." prompt="Please enter a number." sqref="C7:C8 C3:C4" xr:uid="{216CAB2F-FE35-4715-80F3-FDA8AC7E8CED}">
      <formula1>-99999999999999900000</formula1>
      <formula2>99999999999999900000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80FC-C54B-47EA-864A-2F1E7D7C448B}">
  <dimension ref="A1:F17"/>
  <sheetViews>
    <sheetView workbookViewId="0">
      <selection activeCell="C10" sqref="C10"/>
    </sheetView>
  </sheetViews>
  <sheetFormatPr defaultRowHeight="14.4" x14ac:dyDescent="0.3"/>
  <cols>
    <col min="1" max="1" width="21.33203125" bestFit="1" customWidth="1"/>
    <col min="2" max="2" width="32.109375" bestFit="1" customWidth="1"/>
    <col min="3" max="3" width="15.88671875" bestFit="1" customWidth="1"/>
    <col min="4" max="4" width="9.5546875" bestFit="1" customWidth="1"/>
    <col min="5" max="5" width="9.33203125" bestFit="1" customWidth="1"/>
    <col min="6" max="6" width="20.77734375" bestFit="1" customWidth="1"/>
  </cols>
  <sheetData>
    <row r="1" spans="1:6" ht="18" x14ac:dyDescent="0.35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1" t="s">
        <v>5</v>
      </c>
    </row>
    <row r="2" spans="1:6" ht="18" x14ac:dyDescent="0.35">
      <c r="A2" s="3" t="s">
        <v>6</v>
      </c>
      <c r="B2" s="3"/>
      <c r="C2" s="4"/>
      <c r="D2" s="5"/>
      <c r="E2" s="5"/>
      <c r="F2" s="3"/>
    </row>
    <row r="3" spans="1:6" ht="18" x14ac:dyDescent="0.35">
      <c r="A3" s="6"/>
      <c r="B3" s="6" t="s">
        <v>71</v>
      </c>
      <c r="C3" s="18">
        <v>5</v>
      </c>
      <c r="D3" s="8" t="s">
        <v>72</v>
      </c>
      <c r="E3" s="8" t="s">
        <v>73</v>
      </c>
      <c r="F3" s="6" t="s">
        <v>10</v>
      </c>
    </row>
    <row r="4" spans="1:6" ht="18" x14ac:dyDescent="0.35">
      <c r="A4" s="6"/>
      <c r="B4" s="6" t="s">
        <v>74</v>
      </c>
      <c r="C4" s="13">
        <v>0</v>
      </c>
      <c r="D4" s="8" t="s">
        <v>75</v>
      </c>
      <c r="E4" s="8" t="s">
        <v>76</v>
      </c>
      <c r="F4" s="6" t="s">
        <v>10</v>
      </c>
    </row>
    <row r="5" spans="1:6" ht="18" x14ac:dyDescent="0.35">
      <c r="A5" s="6"/>
      <c r="B5" s="6" t="s">
        <v>100</v>
      </c>
      <c r="C5" s="14"/>
      <c r="D5" s="8"/>
      <c r="E5" s="8"/>
      <c r="F5" s="6"/>
    </row>
    <row r="6" spans="1:6" ht="18" x14ac:dyDescent="0.35">
      <c r="A6" s="6"/>
      <c r="B6" s="6" t="s">
        <v>77</v>
      </c>
      <c r="C6" s="13">
        <v>2.5</v>
      </c>
      <c r="D6" s="8" t="s">
        <v>78</v>
      </c>
      <c r="E6" s="8" t="s">
        <v>79</v>
      </c>
      <c r="F6" s="6" t="s">
        <v>10</v>
      </c>
    </row>
    <row r="7" spans="1:6" ht="18" x14ac:dyDescent="0.35">
      <c r="A7" s="6"/>
      <c r="B7" s="6" t="s">
        <v>80</v>
      </c>
      <c r="C7" s="13">
        <v>4.2</v>
      </c>
      <c r="D7" s="8" t="s">
        <v>78</v>
      </c>
      <c r="E7" s="8" t="s">
        <v>81</v>
      </c>
      <c r="F7" s="6" t="s">
        <v>10</v>
      </c>
    </row>
    <row r="8" spans="1:6" ht="18" x14ac:dyDescent="0.35">
      <c r="A8" s="3" t="s">
        <v>11</v>
      </c>
      <c r="B8" s="3"/>
      <c r="C8" s="4"/>
      <c r="D8" s="5"/>
      <c r="E8" s="5"/>
      <c r="F8" s="3"/>
    </row>
    <row r="9" spans="1:6" ht="18" x14ac:dyDescent="0.35">
      <c r="A9" s="6"/>
      <c r="B9" s="6" t="s">
        <v>74</v>
      </c>
      <c r="C9" s="13">
        <v>0</v>
      </c>
      <c r="D9" s="8" t="s">
        <v>75</v>
      </c>
      <c r="E9" s="8" t="s">
        <v>76</v>
      </c>
      <c r="F9" s="6" t="s">
        <v>10</v>
      </c>
    </row>
    <row r="10" spans="1:6" ht="18" x14ac:dyDescent="0.35">
      <c r="B10" s="6" t="s">
        <v>110</v>
      </c>
      <c r="C10" s="13">
        <v>0</v>
      </c>
      <c r="D10" s="8" t="s">
        <v>75</v>
      </c>
      <c r="E10" s="8" t="s">
        <v>95</v>
      </c>
      <c r="F10" s="6" t="s">
        <v>10</v>
      </c>
    </row>
    <row r="11" spans="1:6" ht="18" x14ac:dyDescent="0.35">
      <c r="B11" s="6" t="s">
        <v>101</v>
      </c>
      <c r="C11" s="13">
        <v>0</v>
      </c>
    </row>
    <row r="12" spans="1:6" ht="18" x14ac:dyDescent="0.35">
      <c r="B12" s="6" t="s">
        <v>102</v>
      </c>
      <c r="C12" s="13">
        <v>0</v>
      </c>
    </row>
    <row r="13" spans="1:6" ht="18" x14ac:dyDescent="0.35">
      <c r="A13" s="3" t="s">
        <v>34</v>
      </c>
      <c r="B13" s="3"/>
      <c r="C13" s="4"/>
      <c r="D13" s="5"/>
      <c r="E13" s="5"/>
      <c r="F13" s="3"/>
    </row>
    <row r="14" spans="1:6" ht="18" x14ac:dyDescent="0.35">
      <c r="A14" s="6"/>
      <c r="B14" s="6" t="s">
        <v>74</v>
      </c>
      <c r="C14" s="13">
        <v>0</v>
      </c>
      <c r="D14" s="8" t="s">
        <v>75</v>
      </c>
      <c r="E14" s="8" t="s">
        <v>76</v>
      </c>
      <c r="F14" s="6" t="s">
        <v>10</v>
      </c>
    </row>
    <row r="15" spans="1:6" ht="18" x14ac:dyDescent="0.35">
      <c r="B15" s="6" t="s">
        <v>110</v>
      </c>
      <c r="C15" s="13">
        <v>0</v>
      </c>
      <c r="D15" s="8" t="s">
        <v>75</v>
      </c>
      <c r="E15" s="8" t="s">
        <v>95</v>
      </c>
      <c r="F15" s="6" t="s">
        <v>10</v>
      </c>
    </row>
    <row r="16" spans="1:6" ht="18" x14ac:dyDescent="0.35">
      <c r="B16" s="6" t="s">
        <v>101</v>
      </c>
      <c r="C16" s="13">
        <v>0</v>
      </c>
    </row>
    <row r="17" spans="2:3" ht="18" x14ac:dyDescent="0.35">
      <c r="B17" s="6" t="s">
        <v>102</v>
      </c>
      <c r="C17" s="13">
        <v>0</v>
      </c>
    </row>
  </sheetData>
  <dataValidations count="1">
    <dataValidation type="decimal" allowBlank="1" showErrorMessage="1" errorTitle="Invalid Input" error="Only numbers are allowed in the Values column." prompt="Please enter a number." sqref="C3:C4 C6:C7 C9 C14" xr:uid="{3695E333-891F-4EAB-A40A-4E28871F344A}">
      <formula1>-99999999999999900000</formula1>
      <formula2>99999999999999900000</formula2>
    </dataValidation>
  </dataValidation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2683-376D-4254-9452-662349D69DD2}">
  <dimension ref="A1:F6"/>
  <sheetViews>
    <sheetView workbookViewId="0">
      <selection sqref="A1:F6"/>
    </sheetView>
  </sheetViews>
  <sheetFormatPr defaultRowHeight="14.4" x14ac:dyDescent="0.3"/>
  <cols>
    <col min="2" max="2" width="25" bestFit="1" customWidth="1"/>
    <col min="6" max="6" width="20.77734375" bestFit="1" customWidth="1"/>
  </cols>
  <sheetData>
    <row r="1" spans="1:6" ht="18" x14ac:dyDescent="0.35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1" t="s">
        <v>5</v>
      </c>
    </row>
    <row r="2" spans="1:6" ht="18" x14ac:dyDescent="0.35">
      <c r="A2" s="3" t="s">
        <v>6</v>
      </c>
      <c r="B2" s="3"/>
      <c r="C2" s="4"/>
      <c r="D2" s="5"/>
      <c r="E2" s="5"/>
      <c r="F2" s="3"/>
    </row>
    <row r="3" spans="1:6" ht="18" x14ac:dyDescent="0.35">
      <c r="A3" s="6"/>
      <c r="B3" s="6" t="s">
        <v>82</v>
      </c>
      <c r="C3" s="7">
        <v>25</v>
      </c>
      <c r="D3" s="8" t="s">
        <v>83</v>
      </c>
      <c r="E3" s="8" t="s">
        <v>84</v>
      </c>
      <c r="F3" s="6" t="s">
        <v>10</v>
      </c>
    </row>
    <row r="4" spans="1:6" ht="18" x14ac:dyDescent="0.35">
      <c r="A4" s="6"/>
      <c r="B4" s="6" t="s">
        <v>85</v>
      </c>
      <c r="C4" s="7">
        <v>25</v>
      </c>
      <c r="D4" s="8" t="s">
        <v>83</v>
      </c>
      <c r="E4" s="8" t="s">
        <v>86</v>
      </c>
      <c r="F4" s="6" t="s">
        <v>10</v>
      </c>
    </row>
    <row r="5" spans="1:6" ht="18" x14ac:dyDescent="0.35">
      <c r="A5" s="6"/>
      <c r="B5" s="6" t="s">
        <v>87</v>
      </c>
      <c r="C5" s="7">
        <v>0</v>
      </c>
      <c r="D5" s="8" t="s">
        <v>83</v>
      </c>
      <c r="E5" s="8" t="s">
        <v>88</v>
      </c>
      <c r="F5" s="6" t="s">
        <v>10</v>
      </c>
    </row>
    <row r="6" spans="1:6" ht="18" x14ac:dyDescent="0.35">
      <c r="A6" s="6"/>
      <c r="B6" s="6" t="s">
        <v>89</v>
      </c>
      <c r="C6" s="7">
        <v>57</v>
      </c>
      <c r="D6" s="8" t="s">
        <v>83</v>
      </c>
      <c r="E6" s="8" t="s">
        <v>90</v>
      </c>
      <c r="F6" s="6" t="s">
        <v>10</v>
      </c>
    </row>
  </sheetData>
  <dataValidations count="1">
    <dataValidation type="decimal" allowBlank="1" showErrorMessage="1" errorTitle="Invalid Input" error="Only numbers are allowed in the Values column." prompt="Please enter a number." sqref="C3:C6" xr:uid="{97BB2B9C-F0A9-4D71-864A-692A8DF384B7}">
      <formula1>-99999999999999900000</formula1>
      <formula2>99999999999999900000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Geometric</vt:lpstr>
      <vt:lpstr>Concentration</vt:lpstr>
      <vt:lpstr>Transport</vt:lpstr>
      <vt:lpstr>Kinetic</vt:lpstr>
      <vt:lpstr>Thermodynamic</vt:lpstr>
      <vt:lpstr>Electrical</vt:lpstr>
      <vt:lpstr>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Nazarzadeh, Kimia</dc:creator>
  <cp:lastModifiedBy>Nazarzadeh, Kimia</cp:lastModifiedBy>
  <dcterms:created xsi:type="dcterms:W3CDTF">2025-07-11T07:29:06Z</dcterms:created>
  <dcterms:modified xsi:type="dcterms:W3CDTF">2025-11-20T14:13:31Z</dcterms:modified>
</cp:coreProperties>
</file>